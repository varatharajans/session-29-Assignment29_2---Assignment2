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 activeTab="1"/>
  </bookViews>
  <sheets>
    <sheet name="Chart1-Rounded Avg%" sheetId="4" r:id="rId1"/>
    <sheet name="class list" sheetId="1" r:id="rId2"/>
    <sheet name="Eugene's dream" sheetId="2" r:id="rId3"/>
    <sheet name="Descriptive statistics" sheetId="3" r:id="rId4"/>
  </sheets>
  <definedNames>
    <definedName name="_xlnm._FilterDatabase" localSheetId="1" hidden="1">'class list'!$B$1:$B$8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N1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E8" i="2" l="1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E8" i="1" l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<sst xmlns="http://schemas.openxmlformats.org/spreadsheetml/2006/main" count="43" uniqueCount="24">
  <si>
    <t>Borlin</t>
  </si>
  <si>
    <t>Catlin</t>
  </si>
  <si>
    <t>Dorsey</t>
  </si>
  <si>
    <t>Eugene</t>
  </si>
  <si>
    <t>Finerran</t>
  </si>
  <si>
    <t>Greco</t>
  </si>
  <si>
    <t>Allen</t>
  </si>
  <si>
    <t>Test 1</t>
  </si>
  <si>
    <t>Test 2</t>
  </si>
  <si>
    <t>Test 3</t>
  </si>
  <si>
    <t>Average</t>
  </si>
  <si>
    <t>Rounded Average</t>
  </si>
  <si>
    <t>Honors</t>
  </si>
  <si>
    <t>Grade</t>
  </si>
  <si>
    <t>Name</t>
  </si>
  <si>
    <t>Number of Honors</t>
  </si>
  <si>
    <t>Number of Grade "A"</t>
  </si>
  <si>
    <t>Number of Grade "B"</t>
  </si>
  <si>
    <t>Number of Grade "C"</t>
  </si>
  <si>
    <t>Number of Grade "D"</t>
  </si>
  <si>
    <t>Number of Grade "F"</t>
  </si>
  <si>
    <t>SUMMARY STATISTICS</t>
  </si>
  <si>
    <t>Countif formulas used and shown in sheet "class list"</t>
  </si>
  <si>
    <t>Goal seek used for cell F6 (for value 96) and changed value in B6.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</si>
</sst>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0" fillId="4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 list'!$F$1</c:f>
              <c:strCache>
                <c:ptCount val="1"/>
                <c:pt idx="0">
                  <c:v>Rounded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'class list'!$A$2:$A$8</c:f>
              <c:strCache>
                <c:ptCount val="7"/>
                <c:pt idx="0">
                  <c:v>Allen</c:v>
                </c:pt>
                <c:pt idx="1">
                  <c:v>Borlin</c:v>
                </c:pt>
                <c:pt idx="2">
                  <c:v>Catlin</c:v>
                </c:pt>
                <c:pt idx="3">
                  <c:v>Dorsey</c:v>
                </c:pt>
                <c:pt idx="4">
                  <c:v>Eugene</c:v>
                </c:pt>
                <c:pt idx="5">
                  <c:v>Finerran</c:v>
                </c:pt>
                <c:pt idx="6">
                  <c:v>Greco</c:v>
                </c:pt>
              </c:strCache>
            </c:strRef>
          </c:cat>
          <c:val>
            <c:numRef>
              <c:f>'class list'!$F$2:$F$8</c:f>
              <c:numCache>
                <c:formatCode>General</c:formatCode>
                <c:ptCount val="7"/>
                <c:pt idx="0">
                  <c:v>85.3</c:v>
                </c:pt>
                <c:pt idx="1">
                  <c:v>63</c:v>
                </c:pt>
                <c:pt idx="2">
                  <c:v>76.7</c:v>
                </c:pt>
                <c:pt idx="3">
                  <c:v>45</c:v>
                </c:pt>
                <c:pt idx="4">
                  <c:v>75</c:v>
                </c:pt>
                <c:pt idx="5">
                  <c:v>98</c:v>
                </c:pt>
                <c:pt idx="6">
                  <c:v>84.3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E6-41E1-A851-A691B01B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23584"/>
        <c:axId val="44742144"/>
      </c:barChart>
      <c:catAx>
        <c:axId val="447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742144"/>
        <c:crosses val="autoZero"/>
        <c:auto val="1"/>
        <c:lblAlgn val="ctr"/>
        <c:lblOffset val="100"/>
        <c:noMultiLvlLbl val="0"/>
      </c:catAx>
      <c:valAx>
        <c:axId val="44742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47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17" sqref="F17"/>
    </sheetView>
  </sheetViews>
  <sheetFormatPr defaultRowHeight="15.75" x14ac:dyDescent="0.25"/>
  <cols>
    <col min="1" max="1" width="9.140625" style="2"/>
    <col min="2" max="4" width="6.7109375" style="2" bestFit="1" customWidth="1"/>
    <col min="5" max="5" width="13.7109375" style="2" bestFit="1" customWidth="1"/>
    <col min="6" max="6" width="18.7109375" style="4" bestFit="1" customWidth="1"/>
    <col min="13" max="13" width="20" bestFit="1" customWidth="1"/>
    <col min="14" max="14" width="9.140625" customWidth="1"/>
  </cols>
  <sheetData>
    <row r="1" spans="1:14" x14ac:dyDescent="0.25">
      <c r="A1" s="2" t="s">
        <v>14</v>
      </c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  <c r="G1" s="2" t="s">
        <v>12</v>
      </c>
      <c r="H1" s="2" t="s">
        <v>13</v>
      </c>
      <c r="I1" s="2"/>
      <c r="J1" s="2">
        <v>60</v>
      </c>
      <c r="M1" s="8" t="s">
        <v>15</v>
      </c>
      <c r="N1" s="8">
        <f>COUNTIF(G2:G8,"Yes")</f>
        <v>1</v>
      </c>
    </row>
    <row r="2" spans="1:14" x14ac:dyDescent="0.25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  <c r="G2" s="2" t="str">
        <f>IF(F2&gt;95,"Yes","No")</f>
        <v>No</v>
      </c>
      <c r="H2" s="2" t="str">
        <f>IF(AND(F2&gt;$J$1,F2&lt;$J$2),"D",IF(OR(F2&gt;$J$4,F2=$J$4),"A",IF(AND(F2&gt;$J$3,F2&lt;$J$4),"B",IF(AND(F2&gt;$J$2,F2&lt;$J$3),"C",IF(F2&lt;$J$1,"F")))))</f>
        <v>B</v>
      </c>
      <c r="I2" s="1"/>
      <c r="J2" s="3">
        <v>70</v>
      </c>
      <c r="M2" s="8" t="s">
        <v>16</v>
      </c>
      <c r="N2" s="8">
        <f>COUNTIF($H$2:$H$8,"A")</f>
        <v>1</v>
      </c>
    </row>
    <row r="3" spans="1:14" x14ac:dyDescent="0.25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  <c r="G3" s="2" t="str">
        <f t="shared" ref="G3:G8" si="2">IF(F3&gt;95,"Yes","No")</f>
        <v>No</v>
      </c>
      <c r="H3" s="2" t="str">
        <f t="shared" ref="H3:H8" si="3">IF(AND(F3&gt;$J$1,F3&lt;$J$2),"D",IF(OR(F3&gt;$J$4,F3=$J$4),"A",IF(AND(F3&gt;$J$3,F3&lt;$J$4),"B",IF(AND(F3&gt;$J$2,F3&lt;$J$3),"C",IF(F3&lt;$J$1,"F")))))</f>
        <v>D</v>
      </c>
      <c r="I3" s="2"/>
      <c r="J3" s="2">
        <v>80</v>
      </c>
      <c r="M3" s="8" t="s">
        <v>17</v>
      </c>
      <c r="N3" s="8">
        <f>COUNTIF($H$2:$H$8,"B")</f>
        <v>2</v>
      </c>
    </row>
    <row r="4" spans="1:14" x14ac:dyDescent="0.25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  <c r="G4" s="2" t="str">
        <f t="shared" si="2"/>
        <v>No</v>
      </c>
      <c r="H4" s="2" t="str">
        <f t="shared" si="3"/>
        <v>C</v>
      </c>
      <c r="I4" s="2"/>
      <c r="J4" s="2">
        <v>90</v>
      </c>
      <c r="M4" s="8" t="s">
        <v>18</v>
      </c>
      <c r="N4" s="8">
        <f>COUNTIF($H$2:$H$8,"C")</f>
        <v>2</v>
      </c>
    </row>
    <row r="5" spans="1:14" x14ac:dyDescent="0.25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  <c r="G5" s="2" t="str">
        <f t="shared" si="2"/>
        <v>No</v>
      </c>
      <c r="H5" s="2" t="str">
        <f t="shared" si="3"/>
        <v>F</v>
      </c>
      <c r="I5" s="2"/>
      <c r="J5" s="2"/>
      <c r="M5" s="8" t="s">
        <v>19</v>
      </c>
      <c r="N5" s="8">
        <f>COUNTIF($H$2:$H$8,"D")</f>
        <v>1</v>
      </c>
    </row>
    <row r="6" spans="1:14" x14ac:dyDescent="0.25">
      <c r="A6" s="2" t="s">
        <v>3</v>
      </c>
      <c r="B6" s="2">
        <v>26</v>
      </c>
      <c r="C6" s="2">
        <v>100</v>
      </c>
      <c r="D6" s="2">
        <v>99</v>
      </c>
      <c r="E6" s="2">
        <f t="shared" si="0"/>
        <v>75</v>
      </c>
      <c r="F6" s="4">
        <f t="shared" si="1"/>
        <v>75</v>
      </c>
      <c r="G6" s="2" t="str">
        <f t="shared" si="2"/>
        <v>No</v>
      </c>
      <c r="H6" s="2" t="str">
        <f t="shared" si="3"/>
        <v>C</v>
      </c>
      <c r="I6" s="2"/>
      <c r="J6" s="2"/>
      <c r="M6" s="8" t="s">
        <v>20</v>
      </c>
      <c r="N6" s="8">
        <f>COUNTIF($H$2:$H$8,"F")</f>
        <v>1</v>
      </c>
    </row>
    <row r="7" spans="1:14" x14ac:dyDescent="0.25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  <c r="G7" s="2" t="str">
        <f t="shared" si="2"/>
        <v>Yes</v>
      </c>
      <c r="H7" s="2" t="str">
        <f t="shared" si="3"/>
        <v>A</v>
      </c>
      <c r="I7" s="2"/>
      <c r="J7" s="2"/>
    </row>
    <row r="8" spans="1:14" x14ac:dyDescent="0.25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  <c r="G8" s="2" t="str">
        <f t="shared" si="2"/>
        <v>No</v>
      </c>
      <c r="H8" s="2" t="str">
        <f t="shared" si="3"/>
        <v>B</v>
      </c>
      <c r="I8" s="2"/>
      <c r="J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16" sqref="K16"/>
    </sheetView>
  </sheetViews>
  <sheetFormatPr defaultRowHeight="15" x14ac:dyDescent="0.25"/>
  <cols>
    <col min="2" max="4" width="6.7109375" bestFit="1" customWidth="1"/>
    <col min="5" max="5" width="13.7109375" bestFit="1" customWidth="1"/>
    <col min="6" max="6" width="18.7109375" bestFit="1" customWidth="1"/>
  </cols>
  <sheetData>
    <row r="1" spans="1:6" ht="15.75" x14ac:dyDescent="0.25">
      <c r="A1" s="2" t="s">
        <v>14</v>
      </c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</row>
    <row r="2" spans="1:6" ht="15.75" x14ac:dyDescent="0.25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</row>
    <row r="3" spans="1:6" ht="15.75" x14ac:dyDescent="0.25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</row>
    <row r="4" spans="1:6" ht="15.75" x14ac:dyDescent="0.25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</row>
    <row r="5" spans="1:6" ht="15.75" x14ac:dyDescent="0.25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</row>
    <row r="6" spans="1:6" ht="15.75" x14ac:dyDescent="0.25">
      <c r="A6" s="5" t="s">
        <v>3</v>
      </c>
      <c r="B6" s="5">
        <v>88.928666666666771</v>
      </c>
      <c r="C6" s="5">
        <v>100</v>
      </c>
      <c r="D6" s="5">
        <v>99</v>
      </c>
      <c r="E6" s="5">
        <f t="shared" si="0"/>
        <v>95.976222222222262</v>
      </c>
      <c r="F6" s="6">
        <f t="shared" si="1"/>
        <v>96</v>
      </c>
    </row>
    <row r="7" spans="1:6" ht="15.75" x14ac:dyDescent="0.25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</row>
    <row r="8" spans="1:6" ht="15.75" x14ac:dyDescent="0.25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</row>
    <row r="11" spans="1:6" x14ac:dyDescent="0.25">
      <c r="A11" s="7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G19" sqref="G19"/>
    </sheetView>
  </sheetViews>
  <sheetFormatPr defaultRowHeight="15" x14ac:dyDescent="0.25"/>
  <cols>
    <col min="1" max="1" width="27.7109375" customWidth="1"/>
  </cols>
  <sheetData>
    <row r="1" spans="1:2" ht="18.75" x14ac:dyDescent="0.3">
      <c r="A1" s="11" t="s">
        <v>21</v>
      </c>
      <c r="B1" s="11"/>
    </row>
    <row r="3" spans="1:2" x14ac:dyDescent="0.25">
      <c r="A3" s="8" t="s">
        <v>15</v>
      </c>
      <c r="B3" s="8">
        <v>1</v>
      </c>
    </row>
    <row r="4" spans="1:2" s="10" customFormat="1" x14ac:dyDescent="0.25">
      <c r="A4" s="9"/>
      <c r="B4" s="9"/>
    </row>
    <row r="5" spans="1:2" x14ac:dyDescent="0.25">
      <c r="A5" s="8" t="s">
        <v>16</v>
      </c>
      <c r="B5" s="8">
        <v>1</v>
      </c>
    </row>
    <row r="6" spans="1:2" x14ac:dyDescent="0.25">
      <c r="A6" s="8" t="s">
        <v>17</v>
      </c>
      <c r="B6" s="8">
        <v>2</v>
      </c>
    </row>
    <row r="7" spans="1:2" x14ac:dyDescent="0.25">
      <c r="A7" s="8" t="s">
        <v>18</v>
      </c>
      <c r="B7" s="8">
        <v>2</v>
      </c>
    </row>
    <row r="8" spans="1:2" x14ac:dyDescent="0.25">
      <c r="A8" s="8" t="s">
        <v>19</v>
      </c>
      <c r="B8" s="8">
        <v>1</v>
      </c>
    </row>
    <row r="9" spans="1:2" x14ac:dyDescent="0.25">
      <c r="A9" s="8" t="s">
        <v>20</v>
      </c>
      <c r="B9" s="8">
        <v>1</v>
      </c>
    </row>
    <row r="11" spans="1:2" s="10" customFormat="1" x14ac:dyDescent="0.25">
      <c r="A11" s="9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class list</vt:lpstr>
      <vt:lpstr>Eugene's dream</vt:lpstr>
      <vt:lpstr>Descriptive statistics</vt:lpstr>
      <vt:lpstr>Chart1-Rounded Avg%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2018-09-06T14:38:31Z</dcterms:modified>
</cp:coreProperties>
</file>